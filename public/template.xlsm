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/>
  <mc:AlternateContent xmlns:mc="http://schemas.openxmlformats.org/markup-compatibility/2006">
    <mc:Choice Requires="x15">
      <x15ac:absPath xmlns:x15ac="http://schemas.microsoft.com/office/spreadsheetml/2010/11/ac" url="C:\Users\Gabriel Gonzalez\Desktop\"/>
    </mc:Choice>
  </mc:AlternateContent>
  <xr:revisionPtr revIDLastSave="0" documentId="13_ncr:1_{D891333F-D2E3-4B4B-A14C-A3E0E39255C1}" xr6:coauthVersionLast="47" xr6:coauthVersionMax="47" xr10:uidLastSave="{00000000-0000-0000-0000-000000000000}"/>
  <bookViews>
    <workbookView xWindow="-108" yWindow="-108" windowWidth="23256" windowHeight="12456" tabRatio="770" activeTab="1" xr2:uid="{00000000-000D-0000-FFFF-FFFF00000000}"/>
  </bookViews>
  <sheets>
    <sheet name="EMPRESAS" sheetId="9" r:id="rId1"/>
    <sheet name="BASE" sheetId="4" r:id="rId2"/>
    <sheet name="TIPO FONDO" sheetId="11" state="hidden" r:id="rId3"/>
    <sheet name="AUTORIZADO" sheetId="10" r:id="rId4"/>
    <sheet name="AREA" sheetId="8" state="hidden" r:id="rId5"/>
    <sheet name="CONCEPTOS" sheetId="5" r:id="rId6"/>
    <sheet name="TIPO DOCUMENTO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5" i="4" l="1"/>
  <c r="M24" i="4"/>
  <c r="M23" i="4"/>
  <c r="M22" i="4"/>
  <c r="L45" i="4"/>
  <c r="M45" i="4" s="1"/>
  <c r="L44" i="4"/>
  <c r="M44" i="4" s="1"/>
  <c r="L43" i="4"/>
  <c r="M43" i="4" s="1"/>
  <c r="L42" i="4"/>
  <c r="M42" i="4" s="1"/>
  <c r="L41" i="4"/>
  <c r="M41" i="4" s="1"/>
  <c r="L40" i="4"/>
  <c r="M40" i="4" s="1"/>
  <c r="L39" i="4"/>
  <c r="M39" i="4" s="1"/>
  <c r="L38" i="4"/>
  <c r="M38" i="4" s="1"/>
  <c r="L37" i="4"/>
  <c r="M37" i="4" s="1"/>
  <c r="L36" i="4"/>
  <c r="M36" i="4" s="1"/>
  <c r="L35" i="4"/>
  <c r="M35" i="4" s="1"/>
  <c r="L34" i="4"/>
  <c r="M34" i="4" s="1"/>
  <c r="L33" i="4"/>
  <c r="M33" i="4" s="1"/>
  <c r="L32" i="4"/>
  <c r="M32" i="4" s="1"/>
  <c r="L31" i="4"/>
  <c r="M31" i="4" s="1"/>
  <c r="L30" i="4"/>
  <c r="M30" i="4" s="1"/>
  <c r="L29" i="4"/>
  <c r="M29" i="4" s="1"/>
  <c r="L28" i="4"/>
  <c r="M28" i="4" s="1"/>
  <c r="L27" i="4"/>
  <c r="M27" i="4" s="1"/>
  <c r="L26" i="4"/>
  <c r="M26" i="4" s="1"/>
  <c r="L25" i="4"/>
  <c r="L24" i="4"/>
  <c r="L23" i="4"/>
  <c r="L22" i="4"/>
  <c r="L21" i="4"/>
  <c r="M21" i="4" s="1"/>
  <c r="N45" i="4" l="1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46" i="4" l="1"/>
  <c r="J46" i="4"/>
  <c r="I46" i="4"/>
  <c r="H46" i="4"/>
  <c r="M46" i="4" l="1"/>
  <c r="L46" i="4"/>
</calcChain>
</file>

<file path=xl/sharedStrings.xml><?xml version="1.0" encoding="utf-8"?>
<sst xmlns="http://schemas.openxmlformats.org/spreadsheetml/2006/main" count="116" uniqueCount="113">
  <si>
    <t>FACTURA</t>
  </si>
  <si>
    <t>NOTA DE CREDITO</t>
  </si>
  <si>
    <t>BOLETA</t>
  </si>
  <si>
    <t>BOLETA HONORARIOS</t>
  </si>
  <si>
    <t>SIN DOCUMENTO</t>
  </si>
  <si>
    <t>PRODUCCION</t>
  </si>
  <si>
    <t>COMERCIAL</t>
  </si>
  <si>
    <t>LIMPIEZA</t>
  </si>
  <si>
    <t>COCINA</t>
  </si>
  <si>
    <t xml:space="preserve">ADMINISTRACION </t>
  </si>
  <si>
    <t>TESORERIA</t>
  </si>
  <si>
    <t>PROVEEDORES</t>
  </si>
  <si>
    <t>BODEGA</t>
  </si>
  <si>
    <t>CALIDAD</t>
  </si>
  <si>
    <t>CONTABILIDAD</t>
  </si>
  <si>
    <t>RRHH</t>
  </si>
  <si>
    <t>AUDITORIA INTERNA</t>
  </si>
  <si>
    <t>LOGISTICA</t>
  </si>
  <si>
    <t>INFORMATICA</t>
  </si>
  <si>
    <t>ABASTECIMIENTO</t>
  </si>
  <si>
    <t>GERENCIA GENERAL</t>
  </si>
  <si>
    <t>CONTROL DE GESTION</t>
  </si>
  <si>
    <t>INGENIERIA</t>
  </si>
  <si>
    <t>AUTORIZADO GASTO POR</t>
  </si>
  <si>
    <t>TOTAL</t>
  </si>
  <si>
    <t>MONTO MÁXIMO POR COMPRAS</t>
  </si>
  <si>
    <t>IVA</t>
  </si>
  <si>
    <t>IMPORTANTE</t>
  </si>
  <si>
    <t>FONDO POR RENDIR</t>
  </si>
  <si>
    <t>RENDICION RECURSOS PROPIOS</t>
  </si>
  <si>
    <t>SELEC CIONE TIPO DE  RENDICIÓN</t>
  </si>
  <si>
    <t>NOMBRE Y APELLIDO</t>
  </si>
  <si>
    <t>RUT</t>
  </si>
  <si>
    <t>EMPRESA</t>
  </si>
  <si>
    <t>FECHA RENDICIÓN</t>
  </si>
  <si>
    <t xml:space="preserve">TIENE 5 DIAS HÁBILES PARA PRESENTAR LA RENDICIÓN CONTANDO DESDE LA FECHA DEL DOCUMENTO MAS ANTIGUO COMO TIEMPO MÁXIMO, FUERA DE ESE PLAZO, NO SE PAGAN RENDICIONES DADO A QUE ESTAMOS FUERA DE PLAZO PARA VALIDAR ANTE SII DTE. SE RECOMIENDA EL 100% DE COMPRAS CON FACTURAS PARA USAR EL IVA </t>
  </si>
  <si>
    <t>NO TOCAR</t>
  </si>
  <si>
    <t>TIPO DE GASTO</t>
  </si>
  <si>
    <t>DETALLE COMPRA</t>
  </si>
  <si>
    <t>FECHA DOCUMENTO</t>
  </si>
  <si>
    <t>N° DOCUMENTO</t>
  </si>
  <si>
    <t>TIPO DOCUMENTO</t>
  </si>
  <si>
    <t>NOMBRE PROVEEDOR</t>
  </si>
  <si>
    <t>RUT PROVEEDOR</t>
  </si>
  <si>
    <t>TODA COMPRA DEBE ADJUNTAR FACTURA//BOLETA Y COMPROBANTE DE PAGO CON TARJETA DE CREDITO O DEBITO NO PAGO EN EFECTIVO, LA TARJETA DEBE SER PERSONAL DEL USUARIO QUE GENERO EL GASTO, SIN ELLO NO SE PAGA RENDICIÓN O FONDOS POR RENDIR.</t>
  </si>
  <si>
    <t>TOTAL BOLETA SERVICIOS</t>
  </si>
  <si>
    <t>TOTAL BOLETA DE HONORARIOS</t>
  </si>
  <si>
    <t>NETO FACTURAS O NOTA CREDITO</t>
  </si>
  <si>
    <t>Costo Materiales Plasticos</t>
  </si>
  <si>
    <t>Costo Materiales Aceros</t>
  </si>
  <si>
    <t>Costo Materiales de Consumo Inmediato</t>
  </si>
  <si>
    <t>Materiales de Construccion</t>
  </si>
  <si>
    <t>Costo  Insumos Varios</t>
  </si>
  <si>
    <t>Costo Articulos de Seguridad</t>
  </si>
  <si>
    <t>Costo Herramientas Menores electricas</t>
  </si>
  <si>
    <t>Costo Herramientas menores manuales</t>
  </si>
  <si>
    <t>Costo Insumos Electricos</t>
  </si>
  <si>
    <t>Servicios electricos</t>
  </si>
  <si>
    <t>Servicios de transportes</t>
  </si>
  <si>
    <t>Servicios de asesoría y consultoría</t>
  </si>
  <si>
    <t>Servicios de matencion</t>
  </si>
  <si>
    <t>Servicios aduaneros</t>
  </si>
  <si>
    <t>Retiro de residuos/ sanitizacion</t>
  </si>
  <si>
    <t>Consumo electrico</t>
  </si>
  <si>
    <t>Consumo de agua</t>
  </si>
  <si>
    <t>Consumo gas</t>
  </si>
  <si>
    <t>Arriendo de equipos y maquinarias</t>
  </si>
  <si>
    <t>Pasajes aereos viajes</t>
  </si>
  <si>
    <t>Alojamiento</t>
  </si>
  <si>
    <t>Almuerzos y colaciones terreno</t>
  </si>
  <si>
    <t>Uniformes corporativos</t>
  </si>
  <si>
    <t>Otros beneficios del personal</t>
  </si>
  <si>
    <t>Exámenes medicos y psicologicos</t>
  </si>
  <si>
    <t>Gastos de capacitacion</t>
  </si>
  <si>
    <t>Alarma y monitoreo</t>
  </si>
  <si>
    <t>Consumo telefono</t>
  </si>
  <si>
    <t>Consumo celular</t>
  </si>
  <si>
    <t>Arriendo de sofware contable</t>
  </si>
  <si>
    <t>Software y gastos de web</t>
  </si>
  <si>
    <t>Soporte informatico</t>
  </si>
  <si>
    <t>Patente rev. Tecnica y permiso Circ.</t>
  </si>
  <si>
    <t>Mantencion extintores</t>
  </si>
  <si>
    <t>Correo Carrier</t>
  </si>
  <si>
    <t>Articulos de aseo y oficina</t>
  </si>
  <si>
    <t>Insumos computacionales</t>
  </si>
  <si>
    <t>Patente municipal</t>
  </si>
  <si>
    <t>Honorarios</t>
  </si>
  <si>
    <t>Honorarios Profesionales</t>
  </si>
  <si>
    <t>Honorarios Legales</t>
  </si>
  <si>
    <t>Arriendo vehiculos</t>
  </si>
  <si>
    <t>Mantencion vehiculos</t>
  </si>
  <si>
    <t>Combustible</t>
  </si>
  <si>
    <t>Estacionamiento</t>
  </si>
  <si>
    <t>Mantencion maquinarias y equipos</t>
  </si>
  <si>
    <t>Mantencion camaras seguridad</t>
  </si>
  <si>
    <t>Mantencion Equipos computacionales</t>
  </si>
  <si>
    <t>Mantencion instalaciones</t>
  </si>
  <si>
    <t>Locomocion peajes tag</t>
  </si>
  <si>
    <t>Imprenta</t>
  </si>
  <si>
    <t>Valijas y correspondencia</t>
  </si>
  <si>
    <t>Gastos legales y notariales</t>
  </si>
  <si>
    <t>Suscripciones</t>
  </si>
  <si>
    <t>Publicidad y marketing</t>
  </si>
  <si>
    <t>Activo fijo</t>
  </si>
  <si>
    <t>IMPUESTO ESPECIFICO</t>
  </si>
  <si>
    <t>TOTAL FACTURAS</t>
  </si>
  <si>
    <t>TOTAL BOLETAS</t>
  </si>
  <si>
    <t>SERVICIOS MEDICOS Y DENTALES LTDA</t>
  </si>
  <si>
    <t>FACELOOKBYE SPA</t>
  </si>
  <si>
    <t>MEYBER LARA</t>
  </si>
  <si>
    <t>GLADYS LARA</t>
  </si>
  <si>
    <t>GABRIEL GONZALEZ</t>
  </si>
  <si>
    <t>INSUMOS DENTALES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</si>
</sst>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.00\ &quot;€&quot;_-;\-* #,##0.00\ &quot;€&quot;_-;_-* &quot;-&quot;??\ &quot;€&quot;_-;_-@_-"/>
    <numFmt numFmtId="166" formatCode="[$$-340A]\ #,##0"/>
    <numFmt numFmtId="167" formatCode="_-* #,##0_-;\-* #,##0_-;_-* &quot;-&quot;??_-;_-@_-"/>
  </numFmts>
  <fonts count="2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1"/>
      <scheme val="minor"/>
    </font>
    <font>
      <b/>
      <sz val="10"/>
      <color theme="9" tint="0.39997558519241921"/>
      <name val="Calibri"/>
      <family val="2"/>
      <scheme val="minor"/>
    </font>
    <font>
      <b/>
      <sz val="16"/>
      <color theme="9" tint="0.39997558519241921"/>
      <name val="Calibri"/>
      <family val="2"/>
      <scheme val="minor"/>
    </font>
    <font>
      <b/>
      <i/>
      <sz val="9"/>
      <color indexed="23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23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6" tint="-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/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/>
      <top/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  <border>
      <left style="thin">
        <color theme="4" tint="-9.9948118533890809E-2"/>
      </left>
      <right style="thin">
        <color theme="4" tint="-9.9948118533890809E-2"/>
      </right>
      <top style="thin">
        <color theme="4" tint="-9.9948118533890809E-2"/>
      </top>
      <bottom style="thin">
        <color theme="4" tint="-9.9948118533890809E-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4" tint="-9.9948118533890809E-2"/>
      </right>
      <top style="medium">
        <color indexed="64"/>
      </top>
      <bottom style="thin">
        <color theme="4" tint="-9.9948118533890809E-2"/>
      </bottom>
      <diagonal/>
    </border>
    <border>
      <left style="thin">
        <color theme="4" tint="-9.9948118533890809E-2"/>
      </left>
      <right style="thin">
        <color theme="4" tint="-9.9948118533890809E-2"/>
      </right>
      <top style="medium">
        <color indexed="64"/>
      </top>
      <bottom style="thin">
        <color theme="4" tint="-9.9948118533890809E-2"/>
      </bottom>
      <diagonal/>
    </border>
    <border>
      <left style="thin">
        <color theme="4" tint="-9.9948118533890809E-2"/>
      </left>
      <right style="thin">
        <color theme="4" tint="-9.9948118533890809E-2"/>
      </right>
      <top style="medium">
        <color indexed="64"/>
      </top>
      <bottom/>
      <diagonal/>
    </border>
    <border>
      <left style="thin">
        <color theme="4" tint="-9.9948118533890809E-2"/>
      </left>
      <right style="medium">
        <color indexed="64"/>
      </right>
      <top style="medium">
        <color indexed="64"/>
      </top>
      <bottom style="thin">
        <color theme="4" tint="-9.9948118533890809E-2"/>
      </bottom>
      <diagonal/>
    </border>
    <border>
      <left style="medium">
        <color indexed="64"/>
      </left>
      <right style="thin">
        <color theme="4" tint="-9.9948118533890809E-2"/>
      </right>
      <top style="thin">
        <color theme="4" tint="-9.9948118533890809E-2"/>
      </top>
      <bottom style="medium">
        <color indexed="64"/>
      </bottom>
      <diagonal/>
    </border>
    <border>
      <left style="thin">
        <color theme="4" tint="-9.9948118533890809E-2"/>
      </left>
      <right style="thin">
        <color theme="4" tint="-9.9948118533890809E-2"/>
      </right>
      <top style="thin">
        <color theme="4" tint="-9.9948118533890809E-2"/>
      </top>
      <bottom style="medium">
        <color indexed="64"/>
      </bottom>
      <diagonal/>
    </border>
    <border>
      <left style="thin">
        <color theme="4" tint="-9.9948118533890809E-2"/>
      </left>
      <right style="thin">
        <color theme="4" tint="-9.9948118533890809E-2"/>
      </right>
      <top/>
      <bottom style="medium">
        <color indexed="64"/>
      </bottom>
      <diagonal/>
    </border>
    <border>
      <left style="thin">
        <color theme="4" tint="-9.9948118533890809E-2"/>
      </left>
      <right style="medium">
        <color indexed="64"/>
      </right>
      <top style="thin">
        <color theme="4" tint="-9.9948118533890809E-2"/>
      </top>
      <bottom style="medium">
        <color indexed="64"/>
      </bottom>
      <diagonal/>
    </border>
    <border>
      <left/>
      <right style="thin">
        <color theme="4" tint="-9.9948118533890809E-2"/>
      </right>
      <top style="thin">
        <color theme="4" tint="-9.9948118533890809E-2"/>
      </top>
      <bottom style="thin">
        <color theme="4" tint="-9.9948118533890809E-2"/>
      </bottom>
      <diagonal/>
    </border>
    <border>
      <left style="thin">
        <color theme="8" tint="0.59999389629810485"/>
      </left>
      <right/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" fillId="0" borderId="0"/>
  </cellStyleXfs>
  <cellXfs count="93">
    <xf numFmtId="0" fontId="0" fillId="0" borderId="0" xfId="0"/>
    <xf numFmtId="0" fontId="6" fillId="0" borderId="0" xfId="0" applyFont="1" applyAlignment="1">
      <alignment horizontal="left"/>
    </xf>
    <xf numFmtId="0" fontId="7" fillId="0" borderId="0" xfId="3" applyFont="1" applyAlignment="1">
      <alignment wrapText="1"/>
    </xf>
    <xf numFmtId="0" fontId="8" fillId="0" borderId="0" xfId="0" applyFont="1"/>
    <xf numFmtId="165" fontId="8" fillId="0" borderId="0" xfId="1" applyFont="1"/>
    <xf numFmtId="0" fontId="9" fillId="0" borderId="0" xfId="3" applyFont="1" applyAlignment="1">
      <alignment wrapText="1"/>
    </xf>
    <xf numFmtId="0" fontId="8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left"/>
    </xf>
    <xf numFmtId="14" fontId="8" fillId="0" borderId="1" xfId="0" applyNumberFormat="1" applyFont="1" applyBorder="1" applyAlignment="1">
      <alignment horizontal="center"/>
    </xf>
    <xf numFmtId="14" fontId="8" fillId="0" borderId="0" xfId="0" applyNumberFormat="1" applyFont="1"/>
    <xf numFmtId="166" fontId="8" fillId="0" borderId="0" xfId="0" applyNumberFormat="1" applyFont="1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 shrinkToFit="1"/>
    </xf>
    <xf numFmtId="0" fontId="1" fillId="0" borderId="0" xfId="0" applyFont="1"/>
    <xf numFmtId="14" fontId="8" fillId="0" borderId="3" xfId="0" applyNumberFormat="1" applyFont="1" applyBorder="1" applyAlignment="1">
      <alignment horizontal="center"/>
    </xf>
    <xf numFmtId="0" fontId="8" fillId="0" borderId="3" xfId="0" applyFont="1" applyBorder="1"/>
    <xf numFmtId="0" fontId="12" fillId="0" borderId="0" xfId="0" applyFont="1" applyAlignment="1">
      <alignment horizontal="right" vertical="center"/>
    </xf>
    <xf numFmtId="0" fontId="5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wrapText="1"/>
    </xf>
    <xf numFmtId="164" fontId="18" fillId="0" borderId="2" xfId="2" applyFont="1" applyBorder="1"/>
    <xf numFmtId="166" fontId="3" fillId="2" borderId="5" xfId="0" applyNumberFormat="1" applyFont="1" applyFill="1" applyBorder="1" applyAlignment="1">
      <alignment horizontal="right" vertical="center" wrapText="1" shrinkToFit="1"/>
    </xf>
    <xf numFmtId="0" fontId="19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7" fontId="0" fillId="0" borderId="0" xfId="2" applyNumberFormat="1" applyFont="1"/>
    <xf numFmtId="0" fontId="16" fillId="0" borderId="0" xfId="0" applyFont="1" applyAlignment="1">
      <alignment horizontal="left"/>
    </xf>
    <xf numFmtId="0" fontId="11" fillId="0" borderId="0" xfId="0" applyFont="1" applyAlignment="1">
      <alignment wrapText="1"/>
    </xf>
    <xf numFmtId="166" fontId="3" fillId="2" borderId="24" xfId="0" applyNumberFormat="1" applyFont="1" applyFill="1" applyBorder="1" applyAlignment="1">
      <alignment horizontal="right" vertical="center" wrapText="1" shrinkToFit="1"/>
    </xf>
    <xf numFmtId="14" fontId="8" fillId="0" borderId="25" xfId="0" applyNumberFormat="1" applyFont="1" applyBorder="1" applyAlignment="1">
      <alignment horizontal="center"/>
    </xf>
    <xf numFmtId="164" fontId="8" fillId="0" borderId="0" xfId="0" applyNumberFormat="1" applyFont="1"/>
    <xf numFmtId="166" fontId="3" fillId="2" borderId="5" xfId="0" applyNumberFormat="1" applyFont="1" applyFill="1" applyBorder="1" applyAlignment="1">
      <alignment horizontal="right" wrapText="1" shrinkToFit="1"/>
    </xf>
    <xf numFmtId="3" fontId="8" fillId="0" borderId="1" xfId="0" applyNumberFormat="1" applyFont="1" applyBorder="1"/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14" fontId="8" fillId="0" borderId="4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3" fillId="3" borderId="7" xfId="0" applyFont="1" applyFill="1" applyBorder="1" applyAlignment="1">
      <alignment horizontal="center" wrapText="1"/>
    </xf>
    <xf numFmtId="0" fontId="23" fillId="3" borderId="9" xfId="0" applyFont="1" applyFill="1" applyBorder="1" applyAlignment="1">
      <alignment horizontal="center" wrapText="1"/>
    </xf>
    <xf numFmtId="0" fontId="23" fillId="3" borderId="8" xfId="0" applyFont="1" applyFill="1" applyBorder="1" applyAlignment="1">
      <alignment horizont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15" fillId="4" borderId="15" xfId="0" applyFont="1" applyFill="1" applyBorder="1" applyAlignment="1">
      <alignment horizontal="center" vertical="center" wrapText="1"/>
    </xf>
    <xf numFmtId="0" fontId="15" fillId="4" borderId="10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6" xfId="0" applyFont="1" applyFill="1" applyBorder="1" applyAlignment="1">
      <alignment horizontal="center" vertical="center" wrapText="1"/>
    </xf>
    <xf numFmtId="0" fontId="20" fillId="3" borderId="0" xfId="0" applyFont="1" applyFill="1" applyAlignment="1">
      <alignment horizontal="left" vertical="center"/>
    </xf>
    <xf numFmtId="0" fontId="22" fillId="3" borderId="7" xfId="0" applyFont="1" applyFill="1" applyBorder="1" applyAlignment="1">
      <alignment horizontal="center" vertical="center" wrapText="1"/>
    </xf>
    <xf numFmtId="0" fontId="22" fillId="3" borderId="9" xfId="0" applyFont="1" applyFill="1" applyBorder="1" applyAlignment="1">
      <alignment horizontal="center" vertical="center" wrapText="1"/>
    </xf>
    <xf numFmtId="0" fontId="22" fillId="3" borderId="8" xfId="0" applyFont="1" applyFill="1" applyBorder="1" applyAlignment="1">
      <alignment horizontal="center" vertical="center" wrapText="1"/>
    </xf>
    <xf numFmtId="0" fontId="22" fillId="3" borderId="9" xfId="0" applyFont="1" applyFill="1" applyBorder="1" applyAlignment="1">
      <alignment horizontal="center" vertical="center" wrapText="1"/>
    </xf>
    <xf numFmtId="0" fontId="21" fillId="4" borderId="7" xfId="0" applyFont="1" applyFill="1" applyBorder="1" applyAlignment="1">
      <alignment horizontal="left"/>
    </xf>
    <xf numFmtId="0" fontId="21" fillId="4" borderId="9" xfId="0" applyFont="1" applyFill="1" applyBorder="1" applyAlignment="1">
      <alignment horizontal="left"/>
    </xf>
    <xf numFmtId="0" fontId="21" fillId="4" borderId="8" xfId="0" applyFont="1" applyFill="1" applyBorder="1" applyAlignment="1">
      <alignment horizontal="left"/>
    </xf>
    <xf numFmtId="167" fontId="8" fillId="4" borderId="6" xfId="2" applyNumberFormat="1" applyFont="1" applyFill="1" applyBorder="1"/>
    <xf numFmtId="14" fontId="10" fillId="4" borderId="7" xfId="0" applyNumberFormat="1" applyFont="1" applyFill="1" applyBorder="1" applyAlignment="1">
      <alignment horizontal="center"/>
    </xf>
    <xf numFmtId="14" fontId="10" fillId="4" borderId="9" xfId="0" applyNumberFormat="1" applyFont="1" applyFill="1" applyBorder="1" applyAlignment="1">
      <alignment horizontal="center"/>
    </xf>
    <xf numFmtId="14" fontId="10" fillId="4" borderId="8" xfId="0" applyNumberFormat="1" applyFont="1" applyFill="1" applyBorder="1" applyAlignment="1">
      <alignment horizontal="center"/>
    </xf>
    <xf numFmtId="0" fontId="10" fillId="4" borderId="7" xfId="0" applyFont="1" applyFill="1" applyBorder="1" applyAlignment="1">
      <alignment horizontal="left"/>
    </xf>
    <xf numFmtId="0" fontId="10" fillId="4" borderId="9" xfId="0" applyFont="1" applyFill="1" applyBorder="1" applyAlignment="1">
      <alignment horizontal="left"/>
    </xf>
    <xf numFmtId="0" fontId="10" fillId="4" borderId="8" xfId="0" applyFont="1" applyFill="1" applyBorder="1" applyAlignment="1">
      <alignment horizontal="left"/>
    </xf>
    <xf numFmtId="0" fontId="10" fillId="4" borderId="7" xfId="0" applyFont="1" applyFill="1" applyBorder="1" applyAlignment="1">
      <alignment vertical="center"/>
    </xf>
    <xf numFmtId="0" fontId="10" fillId="4" borderId="9" xfId="0" applyFont="1" applyFill="1" applyBorder="1" applyAlignment="1">
      <alignment vertical="center"/>
    </xf>
    <xf numFmtId="0" fontId="10" fillId="4" borderId="8" xfId="0" applyFont="1" applyFill="1" applyBorder="1" applyAlignment="1">
      <alignment vertical="center"/>
    </xf>
    <xf numFmtId="0" fontId="20" fillId="4" borderId="14" xfId="0" applyFont="1" applyFill="1" applyBorder="1" applyAlignment="1">
      <alignment horizontal="center" vertical="center" wrapText="1"/>
    </xf>
    <xf numFmtId="0" fontId="20" fillId="4" borderId="15" xfId="0" applyFont="1" applyFill="1" applyBorder="1" applyAlignment="1">
      <alignment horizontal="center"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 shrinkToFit="1"/>
    </xf>
    <xf numFmtId="0" fontId="3" fillId="4" borderId="18" xfId="0" applyFont="1" applyFill="1" applyBorder="1" applyAlignment="1">
      <alignment horizontal="center" vertical="center" wrapText="1" shrinkToFit="1"/>
    </xf>
    <xf numFmtId="0" fontId="3" fillId="4" borderId="17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 shrinkToFit="1"/>
    </xf>
    <xf numFmtId="0" fontId="3" fillId="4" borderId="22" xfId="0" applyFont="1" applyFill="1" applyBorder="1" applyAlignment="1">
      <alignment horizontal="center" vertical="center" wrapText="1" shrinkToFit="1"/>
    </xf>
    <xf numFmtId="0" fontId="3" fillId="4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8" fillId="0" borderId="2" xfId="0" applyFont="1" applyBorder="1"/>
  </cellXfs>
  <cellStyles count="4">
    <cellStyle name="Euro" xfId="1" xr:uid="{00000000-0005-0000-0000-000000000000}"/>
    <cellStyle name="Millares" xfId="2" builtinId="3"/>
    <cellStyle name="Normal" xfId="0" builtinId="0"/>
    <cellStyle name="Normal 2" xfId="3" xr:uid="{00000000-0005-0000-0000-000003000000}"/>
  </cellStyles>
  <dxfs count="0"/>
  <tableStyles count="0" defaultTableStyle="TableStyleMedium9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119743</xdr:colOff>
      <xdr:row>2</xdr:row>
      <xdr:rowOff>163286</xdr:rowOff>
    </xdr:from>
    <xdr:to>
      <xdr:col>1</xdr:col>
      <xdr:colOff>174171</xdr:colOff>
      <xdr:row>5</xdr:row>
      <xdr:rowOff>413658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DAA6897-5C33-3EF3-6373-68FBFA444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43" y="522515"/>
          <a:ext cx="2427514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Escala de grises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Vértice">
      <a:fillStyleLst>
        <a:solidFill>
          <a:schemeClr val="phClr"/>
        </a:solidFill>
        <a:gradFill rotWithShape="1">
          <a:gsLst>
            <a:gs pos="20000">
              <a:schemeClr val="phClr">
                <a:tint val="9000"/>
              </a:schemeClr>
            </a:gs>
            <a:gs pos="100000">
              <a:schemeClr val="phClr">
                <a:tint val="70000"/>
                <a:satMod val="100000"/>
              </a:schemeClr>
            </a:gs>
          </a:gsLst>
          <a:path path="circle">
            <a:fillToRect l="-15000" t="-15000" r="115000" b="115000"/>
          </a:path>
        </a:gradFill>
        <a:gradFill rotWithShape="1">
          <a:gsLst>
            <a:gs pos="0">
              <a:schemeClr val="phClr">
                <a:shade val="60000"/>
              </a:schemeClr>
            </a:gs>
            <a:gs pos="33000">
              <a:schemeClr val="phClr">
                <a:tint val="86500"/>
              </a:schemeClr>
            </a:gs>
            <a:gs pos="46750">
              <a:schemeClr val="phClr">
                <a:tint val="71000"/>
                <a:satMod val="112000"/>
              </a:schemeClr>
            </a:gs>
            <a:gs pos="53000">
              <a:schemeClr val="phClr">
                <a:tint val="71000"/>
                <a:satMod val="112000"/>
              </a:schemeClr>
            </a:gs>
            <a:gs pos="68000">
              <a:schemeClr val="phClr">
                <a:tint val="86000"/>
              </a:schemeClr>
            </a:gs>
            <a:gs pos="100000">
              <a:schemeClr val="phClr">
                <a:shade val="60000"/>
              </a:schemeClr>
            </a:gs>
          </a:gsLst>
          <a:lin ang="8350000" scaled="1"/>
        </a:gradFill>
      </a:fillStyleLst>
      <a:lnStyleLst>
        <a:ln w="9525" cap="flat" cmpd="sng" algn="ctr">
          <a:solidFill>
            <a:schemeClr val="phClr">
              <a:shade val="48000"/>
              <a:satMod val="11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130000" dist="101600" dir="2700000" algn="tl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100000"/>
            </a:lightRig>
          </a:scene3d>
          <a:sp3d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4"/>
  <sheetViews>
    <sheetView showGridLines="0" workbookViewId="0">
      <selection activeCell="A3" sqref="A3"/>
    </sheetView>
  </sheetViews>
  <sheetFormatPr baseColWidth="10" defaultColWidth="11.44140625" defaultRowHeight="13.2" x14ac:dyDescent="0.25"/>
  <cols>
    <col min="1" max="1" width="37.33203125" bestFit="1" customWidth="1"/>
  </cols>
  <sheetData>
    <row r="1" spans="1:1" x14ac:dyDescent="0.25">
      <c r="A1" s="16" t="s">
        <v>107</v>
      </c>
    </row>
    <row r="2" spans="1:1" x14ac:dyDescent="0.25">
      <c r="A2" s="16" t="s">
        <v>108</v>
      </c>
    </row>
    <row r="3" spans="1:1" x14ac:dyDescent="0.25">
      <c r="A3" s="16"/>
    </row>
    <row r="4" spans="1:1" x14ac:dyDescent="0.25">
      <c r="A4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O54"/>
  <sheetViews>
    <sheetView showGridLines="0" tabSelected="1" topLeftCell="A18" zoomScale="70" zoomScaleNormal="70" workbookViewId="0">
      <selection activeCell="A19" sqref="A19:A20"/>
    </sheetView>
  </sheetViews>
  <sheetFormatPr baseColWidth="10" defaultColWidth="11.44140625" defaultRowHeight="13.8" x14ac:dyDescent="0.3"/>
  <cols>
    <col min="1" max="1" width="34.5546875" style="3" customWidth="1"/>
    <col min="2" max="2" width="13.33203125" style="3" customWidth="1"/>
    <col min="3" max="3" width="14.6640625" style="3" customWidth="1"/>
    <col min="4" max="4" width="11.5546875" style="3" customWidth="1"/>
    <col min="5" max="5" width="16.6640625" style="3" customWidth="1"/>
    <col min="6" max="6" width="26" style="3" customWidth="1"/>
    <col min="7" max="7" width="26.6640625" style="6" customWidth="1"/>
    <col min="8" max="8" width="17.6640625" style="3" customWidth="1"/>
    <col min="9" max="9" width="16.5546875" style="3" customWidth="1"/>
    <col min="10" max="11" width="16.88671875" style="3" customWidth="1"/>
    <col min="12" max="12" width="12" style="3" bestFit="1" customWidth="1"/>
    <col min="13" max="13" width="11.44140625" style="3"/>
    <col min="14" max="14" width="13" style="3" customWidth="1"/>
    <col min="15" max="16384" width="11.44140625" style="3"/>
  </cols>
  <sheetData>
    <row r="1" spans="1:13" ht="13.5" customHeight="1" x14ac:dyDescent="0.3">
      <c r="D1" s="4"/>
      <c r="E1" s="4"/>
      <c r="G1" s="3"/>
    </row>
    <row r="2" spans="1:13" ht="15" customHeight="1" x14ac:dyDescent="0.3">
      <c r="D2" s="4"/>
      <c r="E2" s="4"/>
      <c r="G2" s="3"/>
    </row>
    <row r="3" spans="1:13" ht="15.75" customHeight="1" thickBot="1" x14ac:dyDescent="0.45">
      <c r="C3" s="1"/>
      <c r="D3" s="4"/>
      <c r="E3" s="4"/>
      <c r="G3" s="3"/>
    </row>
    <row r="4" spans="1:13" ht="18.75" customHeight="1" thickBot="1" x14ac:dyDescent="0.4">
      <c r="C4" s="39" t="s">
        <v>30</v>
      </c>
      <c r="D4" s="40"/>
      <c r="E4" s="41"/>
      <c r="F4" s="29"/>
      <c r="G4" s="39" t="s">
        <v>27</v>
      </c>
      <c r="H4" s="40"/>
      <c r="I4" s="40"/>
      <c r="J4" s="40"/>
      <c r="K4" s="40"/>
      <c r="L4" s="41"/>
    </row>
    <row r="5" spans="1:13" ht="36" customHeight="1" x14ac:dyDescent="0.3">
      <c r="C5" s="42" t="s">
        <v>29</v>
      </c>
      <c r="D5" s="43"/>
      <c r="E5" s="44"/>
      <c r="F5" s="2"/>
      <c r="G5" s="48" t="s">
        <v>44</v>
      </c>
      <c r="H5" s="49"/>
      <c r="I5" s="49"/>
      <c r="J5" s="49"/>
      <c r="K5" s="49"/>
      <c r="L5" s="50"/>
    </row>
    <row r="6" spans="1:13" ht="36" customHeight="1" thickBot="1" x14ac:dyDescent="0.35">
      <c r="C6" s="45"/>
      <c r="D6" s="46"/>
      <c r="E6" s="47"/>
      <c r="G6" s="51"/>
      <c r="H6" s="52"/>
      <c r="I6" s="52"/>
      <c r="J6" s="52"/>
      <c r="K6" s="52"/>
      <c r="L6" s="53"/>
    </row>
    <row r="7" spans="1:13" ht="7.5" customHeight="1" x14ac:dyDescent="0.4">
      <c r="A7" s="1"/>
      <c r="G7" s="3"/>
    </row>
    <row r="8" spans="1:13" ht="26.25" customHeight="1" thickBot="1" x14ac:dyDescent="0.35">
      <c r="A8" s="5"/>
      <c r="B8" s="37"/>
      <c r="C8" s="38"/>
      <c r="D8" s="38"/>
      <c r="E8" s="38"/>
      <c r="G8" s="3"/>
    </row>
    <row r="9" spans="1:13" s="22" customFormat="1" ht="36" customHeight="1" thickBot="1" x14ac:dyDescent="0.35">
      <c r="A9" s="20"/>
      <c r="B9" s="54" t="s">
        <v>23</v>
      </c>
      <c r="C9" s="55"/>
      <c r="D9" s="56"/>
      <c r="E9" s="57" t="s">
        <v>25</v>
      </c>
      <c r="F9" s="21"/>
      <c r="G9" s="3"/>
      <c r="H9" s="3"/>
      <c r="I9" s="3"/>
      <c r="J9" s="3"/>
      <c r="K9" s="3"/>
      <c r="L9" s="3"/>
      <c r="M9" s="3"/>
    </row>
    <row r="10" spans="1:13" ht="15" customHeight="1" thickBot="1" x14ac:dyDescent="0.35">
      <c r="B10" s="63" t="s">
        <v>111</v>
      </c>
      <c r="C10" s="64"/>
      <c r="D10" s="65"/>
      <c r="E10" s="66"/>
      <c r="G10" s="3"/>
    </row>
    <row r="11" spans="1:13" ht="15" customHeight="1" thickBot="1" x14ac:dyDescent="0.35">
      <c r="B11" s="28"/>
      <c r="C11" s="28"/>
      <c r="D11" s="28"/>
      <c r="G11" s="3"/>
    </row>
    <row r="12" spans="1:13" ht="24" customHeight="1" thickBot="1" x14ac:dyDescent="0.35">
      <c r="A12" s="58" t="s">
        <v>34</v>
      </c>
      <c r="B12" s="67"/>
      <c r="C12" s="68"/>
      <c r="D12" s="69"/>
      <c r="G12" s="3"/>
    </row>
    <row r="13" spans="1:13" ht="24" customHeight="1" thickBot="1" x14ac:dyDescent="0.35">
      <c r="A13" s="58" t="s">
        <v>31</v>
      </c>
      <c r="B13" s="70"/>
      <c r="C13" s="71"/>
      <c r="D13" s="72"/>
      <c r="G13" s="3"/>
    </row>
    <row r="14" spans="1:13" ht="24" customHeight="1" thickBot="1" x14ac:dyDescent="0.35">
      <c r="A14" s="58" t="s">
        <v>32</v>
      </c>
      <c r="B14" s="73"/>
      <c r="C14" s="74"/>
      <c r="D14" s="75"/>
      <c r="E14" s="19"/>
      <c r="G14" s="3"/>
    </row>
    <row r="15" spans="1:13" ht="24" customHeight="1" thickBot="1" x14ac:dyDescent="0.4">
      <c r="A15" s="58" t="s">
        <v>33</v>
      </c>
      <c r="B15" s="70" t="s">
        <v>107</v>
      </c>
      <c r="C15" s="71"/>
      <c r="D15" s="72"/>
      <c r="E15" s="7"/>
      <c r="G15" s="3"/>
    </row>
    <row r="16" spans="1:13" ht="15.75" customHeight="1" x14ac:dyDescent="0.3">
      <c r="A16" s="8"/>
      <c r="B16" s="8"/>
      <c r="C16" s="8"/>
      <c r="D16" s="8"/>
      <c r="E16" s="8"/>
    </row>
    <row r="17" spans="1:15" ht="15.75" customHeight="1" thickBot="1" x14ac:dyDescent="0.35">
      <c r="A17" s="8"/>
      <c r="B17" s="8"/>
      <c r="C17" s="8"/>
      <c r="D17" s="8"/>
      <c r="E17" s="8"/>
    </row>
    <row r="18" spans="1:15" ht="54.75" customHeight="1" thickBot="1" x14ac:dyDescent="0.35">
      <c r="A18" s="59" t="s">
        <v>35</v>
      </c>
      <c r="B18" s="60"/>
      <c r="C18" s="60"/>
      <c r="D18" s="60"/>
      <c r="E18" s="60"/>
      <c r="F18" s="60"/>
      <c r="G18" s="60"/>
      <c r="H18" s="60"/>
      <c r="I18" s="60"/>
      <c r="J18" s="61"/>
      <c r="K18" s="62"/>
      <c r="L18" s="76" t="s">
        <v>36</v>
      </c>
      <c r="M18" s="77"/>
      <c r="N18" s="77"/>
    </row>
    <row r="19" spans="1:15" s="14" customFormat="1" ht="19.5" customHeight="1" x14ac:dyDescent="0.25">
      <c r="A19" s="78" t="s">
        <v>42</v>
      </c>
      <c r="B19" s="79" t="s">
        <v>43</v>
      </c>
      <c r="C19" s="80" t="s">
        <v>41</v>
      </c>
      <c r="D19" s="80" t="s">
        <v>40</v>
      </c>
      <c r="E19" s="80" t="s">
        <v>39</v>
      </c>
      <c r="F19" s="81" t="s">
        <v>38</v>
      </c>
      <c r="G19" s="82" t="s">
        <v>37</v>
      </c>
      <c r="H19" s="82" t="s">
        <v>47</v>
      </c>
      <c r="I19" s="79" t="s">
        <v>45</v>
      </c>
      <c r="J19" s="79" t="s">
        <v>46</v>
      </c>
      <c r="K19" s="79" t="s">
        <v>104</v>
      </c>
      <c r="L19" s="88" t="s">
        <v>26</v>
      </c>
      <c r="M19" s="89" t="s">
        <v>105</v>
      </c>
      <c r="N19" s="89" t="s">
        <v>106</v>
      </c>
    </row>
    <row r="20" spans="1:15" s="15" customFormat="1" ht="11.25" customHeight="1" thickBot="1" x14ac:dyDescent="0.3">
      <c r="A20" s="83"/>
      <c r="B20" s="84"/>
      <c r="C20" s="85"/>
      <c r="D20" s="85"/>
      <c r="E20" s="85"/>
      <c r="F20" s="86"/>
      <c r="G20" s="87"/>
      <c r="H20" s="87"/>
      <c r="I20" s="84"/>
      <c r="J20" s="84"/>
      <c r="K20" s="84"/>
      <c r="L20" s="90"/>
      <c r="M20" s="91"/>
      <c r="N20" s="91"/>
    </row>
    <row r="21" spans="1:15" ht="14.4" x14ac:dyDescent="0.3">
      <c r="A21" s="9"/>
      <c r="B21" s="9"/>
      <c r="C21" s="9"/>
      <c r="D21" s="10"/>
      <c r="E21" s="11"/>
      <c r="F21" s="17"/>
      <c r="G21" s="18"/>
      <c r="H21" s="23"/>
      <c r="I21" s="23"/>
      <c r="J21" s="23"/>
      <c r="K21" s="23"/>
      <c r="L21" s="23">
        <f>H21*19%</f>
        <v>0</v>
      </c>
      <c r="M21" s="23">
        <f>L21+K21+H21</f>
        <v>0</v>
      </c>
      <c r="N21" s="23">
        <f>+I21</f>
        <v>0</v>
      </c>
      <c r="O21" s="32"/>
    </row>
    <row r="22" spans="1:15" ht="14.4" x14ac:dyDescent="0.3">
      <c r="A22" s="9"/>
      <c r="B22" s="92"/>
      <c r="C22" s="9"/>
      <c r="D22" s="10"/>
      <c r="E22" s="11"/>
      <c r="F22" s="17"/>
      <c r="G22" s="18"/>
      <c r="H22" s="23"/>
      <c r="I22" s="23"/>
      <c r="J22" s="23"/>
      <c r="K22" s="23"/>
      <c r="L22" s="23">
        <f t="shared" ref="L22:L45" si="0">H22*19%</f>
        <v>0</v>
      </c>
      <c r="M22" s="23">
        <f t="shared" ref="M22:M45" si="1">L22+K22+H22</f>
        <v>0</v>
      </c>
      <c r="N22" s="23">
        <f t="shared" ref="N22:N45" si="2">+I22</f>
        <v>0</v>
      </c>
      <c r="O22" s="32"/>
    </row>
    <row r="23" spans="1:15" ht="14.4" x14ac:dyDescent="0.3">
      <c r="A23" s="9"/>
      <c r="B23" s="92"/>
      <c r="C23" s="9"/>
      <c r="D23" s="10"/>
      <c r="E23" s="11"/>
      <c r="F23" s="17"/>
      <c r="G23" s="18"/>
      <c r="H23" s="23"/>
      <c r="I23" s="23"/>
      <c r="J23" s="23"/>
      <c r="K23" s="23"/>
      <c r="L23" s="23">
        <f t="shared" si="0"/>
        <v>0</v>
      </c>
      <c r="M23" s="23">
        <f t="shared" si="1"/>
        <v>0</v>
      </c>
      <c r="N23" s="23">
        <f t="shared" si="2"/>
        <v>0</v>
      </c>
      <c r="O23" s="32"/>
    </row>
    <row r="24" spans="1:15" ht="14.4" x14ac:dyDescent="0.3">
      <c r="A24" s="9"/>
      <c r="B24" s="9"/>
      <c r="C24" s="9"/>
      <c r="D24" s="10"/>
      <c r="E24" s="11"/>
      <c r="F24" s="17"/>
      <c r="G24" s="18"/>
      <c r="H24" s="23"/>
      <c r="I24" s="23"/>
      <c r="J24" s="23"/>
      <c r="K24" s="23"/>
      <c r="L24" s="23">
        <f t="shared" si="0"/>
        <v>0</v>
      </c>
      <c r="M24" s="23">
        <f t="shared" si="1"/>
        <v>0</v>
      </c>
      <c r="N24" s="23">
        <f t="shared" si="2"/>
        <v>0</v>
      </c>
      <c r="O24" s="32"/>
    </row>
    <row r="25" spans="1:15" ht="14.4" x14ac:dyDescent="0.3">
      <c r="A25" s="9"/>
      <c r="B25" s="9"/>
      <c r="C25" s="9"/>
      <c r="D25" s="10"/>
      <c r="E25" s="11"/>
      <c r="F25" s="17"/>
      <c r="G25" s="18"/>
      <c r="H25" s="23"/>
      <c r="I25" s="23"/>
      <c r="J25" s="23"/>
      <c r="K25" s="23"/>
      <c r="L25" s="23">
        <f t="shared" si="0"/>
        <v>0</v>
      </c>
      <c r="M25" s="23">
        <f t="shared" si="1"/>
        <v>0</v>
      </c>
      <c r="N25" s="23">
        <f t="shared" si="2"/>
        <v>0</v>
      </c>
      <c r="O25" s="32"/>
    </row>
    <row r="26" spans="1:15" ht="14.4" x14ac:dyDescent="0.3">
      <c r="A26" s="9"/>
      <c r="B26" s="9"/>
      <c r="C26" s="9"/>
      <c r="D26" s="10"/>
      <c r="E26" s="11"/>
      <c r="F26" s="17"/>
      <c r="G26" s="18"/>
      <c r="H26" s="23"/>
      <c r="I26" s="23"/>
      <c r="J26" s="23"/>
      <c r="K26" s="23"/>
      <c r="L26" s="23">
        <f t="shared" si="0"/>
        <v>0</v>
      </c>
      <c r="M26" s="23">
        <f t="shared" si="1"/>
        <v>0</v>
      </c>
      <c r="N26" s="23">
        <f t="shared" si="2"/>
        <v>0</v>
      </c>
      <c r="O26" s="32"/>
    </row>
    <row r="27" spans="1:15" ht="14.4" x14ac:dyDescent="0.3">
      <c r="A27" s="9"/>
      <c r="B27" s="9"/>
      <c r="C27" s="9"/>
      <c r="D27" s="10"/>
      <c r="E27" s="11"/>
      <c r="F27" s="17"/>
      <c r="G27" s="18"/>
      <c r="H27" s="23"/>
      <c r="I27" s="23"/>
      <c r="J27" s="23"/>
      <c r="K27" s="23"/>
      <c r="L27" s="23">
        <f t="shared" si="0"/>
        <v>0</v>
      </c>
      <c r="M27" s="23">
        <f t="shared" si="1"/>
        <v>0</v>
      </c>
      <c r="N27" s="23">
        <f t="shared" si="2"/>
        <v>0</v>
      </c>
      <c r="O27" s="32"/>
    </row>
    <row r="28" spans="1:15" ht="14.4" x14ac:dyDescent="0.3">
      <c r="A28" s="9"/>
      <c r="B28" s="9"/>
      <c r="C28" s="9"/>
      <c r="D28" s="10"/>
      <c r="E28" s="11"/>
      <c r="F28" s="17"/>
      <c r="G28" s="18"/>
      <c r="H28" s="23"/>
      <c r="I28" s="23"/>
      <c r="J28" s="23"/>
      <c r="K28" s="23"/>
      <c r="L28" s="23">
        <f t="shared" si="0"/>
        <v>0</v>
      </c>
      <c r="M28" s="23">
        <f t="shared" si="1"/>
        <v>0</v>
      </c>
      <c r="N28" s="23">
        <f t="shared" si="2"/>
        <v>0</v>
      </c>
      <c r="O28" s="32"/>
    </row>
    <row r="29" spans="1:15" ht="14.4" x14ac:dyDescent="0.3">
      <c r="A29" s="9"/>
      <c r="B29" s="9"/>
      <c r="C29" s="9"/>
      <c r="D29" s="10"/>
      <c r="E29" s="11"/>
      <c r="F29" s="17"/>
      <c r="G29" s="18"/>
      <c r="H29" s="23"/>
      <c r="I29" s="23"/>
      <c r="J29" s="23"/>
      <c r="K29" s="23"/>
      <c r="L29" s="23">
        <f t="shared" si="0"/>
        <v>0</v>
      </c>
      <c r="M29" s="23">
        <f t="shared" si="1"/>
        <v>0</v>
      </c>
      <c r="N29" s="23">
        <f t="shared" si="2"/>
        <v>0</v>
      </c>
      <c r="O29" s="32"/>
    </row>
    <row r="30" spans="1:15" ht="14.4" x14ac:dyDescent="0.3">
      <c r="A30" s="9"/>
      <c r="B30" s="9"/>
      <c r="C30" s="9"/>
      <c r="D30" s="10"/>
      <c r="E30" s="11"/>
      <c r="F30" s="17"/>
      <c r="G30" s="18"/>
      <c r="H30" s="23"/>
      <c r="I30" s="23"/>
      <c r="J30" s="23"/>
      <c r="K30" s="23"/>
      <c r="L30" s="23">
        <f t="shared" si="0"/>
        <v>0</v>
      </c>
      <c r="M30" s="23">
        <f t="shared" si="1"/>
        <v>0</v>
      </c>
      <c r="N30" s="23">
        <f t="shared" si="2"/>
        <v>0</v>
      </c>
      <c r="O30" s="32"/>
    </row>
    <row r="31" spans="1:15" ht="14.4" x14ac:dyDescent="0.3">
      <c r="A31" s="9"/>
      <c r="B31" s="9"/>
      <c r="C31" s="9"/>
      <c r="D31" s="10"/>
      <c r="E31" s="11"/>
      <c r="F31" s="17"/>
      <c r="G31" s="18"/>
      <c r="H31" s="23"/>
      <c r="I31" s="23"/>
      <c r="J31" s="23"/>
      <c r="K31" s="23"/>
      <c r="L31" s="23">
        <f t="shared" si="0"/>
        <v>0</v>
      </c>
      <c r="M31" s="23">
        <f t="shared" si="1"/>
        <v>0</v>
      </c>
      <c r="N31" s="23">
        <f t="shared" si="2"/>
        <v>0</v>
      </c>
      <c r="O31" s="32"/>
    </row>
    <row r="32" spans="1:15" ht="14.4" x14ac:dyDescent="0.3">
      <c r="A32" s="9"/>
      <c r="B32" s="9"/>
      <c r="C32" s="9"/>
      <c r="D32" s="10"/>
      <c r="E32" s="11"/>
      <c r="F32" s="17"/>
      <c r="G32" s="18"/>
      <c r="H32" s="23"/>
      <c r="I32" s="23"/>
      <c r="J32" s="23"/>
      <c r="K32" s="23"/>
      <c r="L32" s="23">
        <f t="shared" si="0"/>
        <v>0</v>
      </c>
      <c r="M32" s="23">
        <f t="shared" si="1"/>
        <v>0</v>
      </c>
      <c r="N32" s="23">
        <f t="shared" si="2"/>
        <v>0</v>
      </c>
      <c r="O32" s="32"/>
    </row>
    <row r="33" spans="1:15" ht="14.4" x14ac:dyDescent="0.3">
      <c r="A33" s="9"/>
      <c r="B33" s="9"/>
      <c r="C33" s="9"/>
      <c r="D33" s="10"/>
      <c r="E33" s="11"/>
      <c r="F33" s="17"/>
      <c r="G33" s="18"/>
      <c r="H33" s="23"/>
      <c r="I33" s="23"/>
      <c r="J33" s="23"/>
      <c r="K33" s="23"/>
      <c r="L33" s="23">
        <f t="shared" si="0"/>
        <v>0</v>
      </c>
      <c r="M33" s="23">
        <f t="shared" si="1"/>
        <v>0</v>
      </c>
      <c r="N33" s="23">
        <f t="shared" si="2"/>
        <v>0</v>
      </c>
      <c r="O33" s="32"/>
    </row>
    <row r="34" spans="1:15" ht="14.4" x14ac:dyDescent="0.3">
      <c r="A34" s="9"/>
      <c r="B34" s="9"/>
      <c r="C34" s="9"/>
      <c r="D34" s="10"/>
      <c r="E34" s="11"/>
      <c r="F34" s="17"/>
      <c r="G34" s="18"/>
      <c r="H34" s="23"/>
      <c r="I34" s="23"/>
      <c r="J34" s="23"/>
      <c r="K34" s="23"/>
      <c r="L34" s="23">
        <f t="shared" si="0"/>
        <v>0</v>
      </c>
      <c r="M34" s="23">
        <f t="shared" si="1"/>
        <v>0</v>
      </c>
      <c r="N34" s="23">
        <f t="shared" si="2"/>
        <v>0</v>
      </c>
      <c r="O34" s="32"/>
    </row>
    <row r="35" spans="1:15" ht="14.4" x14ac:dyDescent="0.3">
      <c r="A35" s="9"/>
      <c r="B35" s="9"/>
      <c r="C35" s="9"/>
      <c r="D35" s="10"/>
      <c r="E35" s="11"/>
      <c r="F35" s="17"/>
      <c r="G35" s="18"/>
      <c r="H35" s="23"/>
      <c r="I35" s="23"/>
      <c r="J35" s="23"/>
      <c r="K35" s="23"/>
      <c r="L35" s="23">
        <f t="shared" si="0"/>
        <v>0</v>
      </c>
      <c r="M35" s="23">
        <f t="shared" si="1"/>
        <v>0</v>
      </c>
      <c r="N35" s="23">
        <f t="shared" si="2"/>
        <v>0</v>
      </c>
      <c r="O35" s="32"/>
    </row>
    <row r="36" spans="1:15" ht="14.4" x14ac:dyDescent="0.3">
      <c r="A36" s="9"/>
      <c r="B36" s="9"/>
      <c r="C36" s="9"/>
      <c r="D36" s="10"/>
      <c r="E36" s="11"/>
      <c r="F36" s="17"/>
      <c r="G36" s="18"/>
      <c r="H36" s="23"/>
      <c r="I36" s="23"/>
      <c r="J36" s="23"/>
      <c r="K36" s="23"/>
      <c r="L36" s="23">
        <f t="shared" si="0"/>
        <v>0</v>
      </c>
      <c r="M36" s="23">
        <f t="shared" si="1"/>
        <v>0</v>
      </c>
      <c r="N36" s="23">
        <f t="shared" si="2"/>
        <v>0</v>
      </c>
      <c r="O36" s="32"/>
    </row>
    <row r="37" spans="1:15" ht="14.4" x14ac:dyDescent="0.3">
      <c r="A37" s="9"/>
      <c r="B37" s="9"/>
      <c r="C37" s="9"/>
      <c r="D37" s="10"/>
      <c r="E37" s="11"/>
      <c r="F37" s="17"/>
      <c r="G37" s="18"/>
      <c r="H37" s="23"/>
      <c r="I37" s="23"/>
      <c r="J37" s="23"/>
      <c r="K37" s="23"/>
      <c r="L37" s="23">
        <f t="shared" si="0"/>
        <v>0</v>
      </c>
      <c r="M37" s="23">
        <f t="shared" si="1"/>
        <v>0</v>
      </c>
      <c r="N37" s="23">
        <f t="shared" si="2"/>
        <v>0</v>
      </c>
      <c r="O37" s="32"/>
    </row>
    <row r="38" spans="1:15" ht="14.4" x14ac:dyDescent="0.3">
      <c r="A38" s="9"/>
      <c r="B38" s="9"/>
      <c r="C38" s="9"/>
      <c r="D38" s="10"/>
      <c r="E38" s="11"/>
      <c r="F38" s="17"/>
      <c r="G38" s="18"/>
      <c r="H38" s="23"/>
      <c r="I38" s="23"/>
      <c r="J38" s="23"/>
      <c r="K38" s="23"/>
      <c r="L38" s="23">
        <f t="shared" si="0"/>
        <v>0</v>
      </c>
      <c r="M38" s="23">
        <f t="shared" si="1"/>
        <v>0</v>
      </c>
      <c r="N38" s="23">
        <f t="shared" si="2"/>
        <v>0</v>
      </c>
      <c r="O38" s="32"/>
    </row>
    <row r="39" spans="1:15" ht="14.4" x14ac:dyDescent="0.3">
      <c r="A39" s="9"/>
      <c r="B39" s="9"/>
      <c r="C39" s="9"/>
      <c r="D39" s="10"/>
      <c r="E39" s="11"/>
      <c r="F39" s="17"/>
      <c r="G39" s="18"/>
      <c r="H39" s="23"/>
      <c r="I39" s="23"/>
      <c r="J39" s="23"/>
      <c r="K39" s="23"/>
      <c r="L39" s="23">
        <f t="shared" si="0"/>
        <v>0</v>
      </c>
      <c r="M39" s="23">
        <f t="shared" si="1"/>
        <v>0</v>
      </c>
      <c r="N39" s="23">
        <f t="shared" si="2"/>
        <v>0</v>
      </c>
      <c r="O39" s="32"/>
    </row>
    <row r="40" spans="1:15" ht="14.4" x14ac:dyDescent="0.3">
      <c r="A40" s="9"/>
      <c r="B40" s="9"/>
      <c r="C40" s="9"/>
      <c r="D40" s="10"/>
      <c r="E40" s="11"/>
      <c r="F40" s="17"/>
      <c r="G40" s="18"/>
      <c r="H40" s="23"/>
      <c r="I40" s="23"/>
      <c r="J40" s="23"/>
      <c r="K40" s="23"/>
      <c r="L40" s="23">
        <f t="shared" si="0"/>
        <v>0</v>
      </c>
      <c r="M40" s="23">
        <f t="shared" si="1"/>
        <v>0</v>
      </c>
      <c r="N40" s="23">
        <f t="shared" si="2"/>
        <v>0</v>
      </c>
      <c r="O40" s="32"/>
    </row>
    <row r="41" spans="1:15" ht="14.4" x14ac:dyDescent="0.3">
      <c r="A41" s="9"/>
      <c r="B41" s="9"/>
      <c r="C41" s="9"/>
      <c r="D41" s="10"/>
      <c r="E41" s="11"/>
      <c r="F41" s="17"/>
      <c r="G41" s="18"/>
      <c r="H41" s="23"/>
      <c r="I41" s="23"/>
      <c r="J41" s="23"/>
      <c r="K41" s="23"/>
      <c r="L41" s="23">
        <f t="shared" si="0"/>
        <v>0</v>
      </c>
      <c r="M41" s="23">
        <f t="shared" si="1"/>
        <v>0</v>
      </c>
      <c r="N41" s="23">
        <f t="shared" si="2"/>
        <v>0</v>
      </c>
      <c r="O41" s="32"/>
    </row>
    <row r="42" spans="1:15" ht="14.4" x14ac:dyDescent="0.3">
      <c r="A42" s="9"/>
      <c r="B42" s="34"/>
      <c r="C42" s="9"/>
      <c r="D42" s="10"/>
      <c r="E42" s="11"/>
      <c r="F42" s="17"/>
      <c r="G42" s="18"/>
      <c r="H42" s="23"/>
      <c r="I42" s="23"/>
      <c r="J42" s="23"/>
      <c r="K42" s="23"/>
      <c r="L42" s="23">
        <f t="shared" si="0"/>
        <v>0</v>
      </c>
      <c r="M42" s="23">
        <f t="shared" si="1"/>
        <v>0</v>
      </c>
      <c r="N42" s="23">
        <f t="shared" si="2"/>
        <v>0</v>
      </c>
      <c r="O42" s="32"/>
    </row>
    <row r="43" spans="1:15" ht="14.4" x14ac:dyDescent="0.3">
      <c r="A43" s="9"/>
      <c r="B43" s="9"/>
      <c r="C43" s="9"/>
      <c r="D43" s="10"/>
      <c r="E43" s="11"/>
      <c r="F43" s="17"/>
      <c r="G43" s="18"/>
      <c r="H43" s="23"/>
      <c r="I43" s="23"/>
      <c r="J43" s="23"/>
      <c r="K43" s="23"/>
      <c r="L43" s="23">
        <f t="shared" si="0"/>
        <v>0</v>
      </c>
      <c r="M43" s="23">
        <f t="shared" si="1"/>
        <v>0</v>
      </c>
      <c r="N43" s="23">
        <f t="shared" si="2"/>
        <v>0</v>
      </c>
      <c r="O43" s="32"/>
    </row>
    <row r="44" spans="1:15" ht="14.4" x14ac:dyDescent="0.3">
      <c r="A44" s="9"/>
      <c r="B44" s="9"/>
      <c r="C44" s="9"/>
      <c r="D44" s="10"/>
      <c r="E44" s="11"/>
      <c r="F44" s="17"/>
      <c r="G44" s="18"/>
      <c r="H44" s="23"/>
      <c r="I44" s="23"/>
      <c r="J44" s="23"/>
      <c r="K44" s="23"/>
      <c r="L44" s="23">
        <f t="shared" si="0"/>
        <v>0</v>
      </c>
      <c r="M44" s="23">
        <f t="shared" si="1"/>
        <v>0</v>
      </c>
      <c r="N44" s="23">
        <f t="shared" si="2"/>
        <v>0</v>
      </c>
      <c r="O44" s="32"/>
    </row>
    <row r="45" spans="1:15" ht="15" thickBot="1" x14ac:dyDescent="0.35">
      <c r="A45" s="9"/>
      <c r="B45" s="9"/>
      <c r="C45" s="9"/>
      <c r="D45" s="10"/>
      <c r="E45" s="11"/>
      <c r="F45" s="31"/>
      <c r="G45" s="18"/>
      <c r="H45" s="23"/>
      <c r="I45" s="23"/>
      <c r="J45" s="23"/>
      <c r="K45" s="23"/>
      <c r="L45" s="23">
        <f t="shared" si="0"/>
        <v>0</v>
      </c>
      <c r="M45" s="23">
        <f t="shared" si="1"/>
        <v>0</v>
      </c>
      <c r="N45" s="23">
        <f t="shared" si="2"/>
        <v>0</v>
      </c>
      <c r="O45" s="32"/>
    </row>
    <row r="46" spans="1:15" ht="19.5" customHeight="1" thickBot="1" x14ac:dyDescent="0.35">
      <c r="D46" s="12"/>
      <c r="E46" s="12"/>
      <c r="F46" s="35" t="s">
        <v>24</v>
      </c>
      <c r="G46" s="36"/>
      <c r="H46" s="30">
        <f t="shared" ref="H46:L46" si="3">+SUM(H21:H45)</f>
        <v>0</v>
      </c>
      <c r="I46" s="24">
        <f t="shared" si="3"/>
        <v>0</v>
      </c>
      <c r="J46" s="24">
        <f t="shared" si="3"/>
        <v>0</v>
      </c>
      <c r="K46" s="24"/>
      <c r="L46" s="24">
        <f t="shared" si="3"/>
        <v>0</v>
      </c>
      <c r="M46" s="24">
        <f>+SUM(M21:M45)</f>
        <v>0</v>
      </c>
      <c r="N46" s="33">
        <f>+SUM(N21:N45)</f>
        <v>0</v>
      </c>
    </row>
    <row r="47" spans="1:15" x14ac:dyDescent="0.3">
      <c r="F47" s="13"/>
    </row>
    <row r="48" spans="1:15" ht="13.5" customHeight="1" x14ac:dyDescent="0.3">
      <c r="G48" s="3"/>
    </row>
    <row r="49" spans="7:8" ht="14.25" customHeight="1" x14ac:dyDescent="0.3">
      <c r="G49" s="3"/>
      <c r="H49" s="13"/>
    </row>
    <row r="50" spans="7:8" ht="14.25" customHeight="1" x14ac:dyDescent="0.3">
      <c r="G50" s="3"/>
    </row>
    <row r="51" spans="7:8" ht="14.25" customHeight="1" x14ac:dyDescent="0.3">
      <c r="G51" s="3"/>
    </row>
    <row r="52" spans="7:8" ht="14.25" customHeight="1" x14ac:dyDescent="0.3">
      <c r="G52" s="3"/>
    </row>
    <row r="53" spans="7:8" ht="14.25" customHeight="1" x14ac:dyDescent="0.3">
      <c r="G53" s="3"/>
    </row>
    <row r="54" spans="7:8" ht="14.25" customHeight="1" x14ac:dyDescent="0.3">
      <c r="G54" s="3"/>
    </row>
  </sheetData>
  <mergeCells count="28">
    <mergeCell ref="N19:N20"/>
    <mergeCell ref="L18:N18"/>
    <mergeCell ref="G4:L4"/>
    <mergeCell ref="C4:E4"/>
    <mergeCell ref="B14:D14"/>
    <mergeCell ref="B19:B20"/>
    <mergeCell ref="G5:L6"/>
    <mergeCell ref="A18:J18"/>
    <mergeCell ref="C5:E6"/>
    <mergeCell ref="B13:D13"/>
    <mergeCell ref="B15:D15"/>
    <mergeCell ref="B10:D10"/>
    <mergeCell ref="B8:E8"/>
    <mergeCell ref="B9:D9"/>
    <mergeCell ref="H19:H20"/>
    <mergeCell ref="A19:A20"/>
    <mergeCell ref="C19:C20"/>
    <mergeCell ref="D19:D20"/>
    <mergeCell ref="E19:E20"/>
    <mergeCell ref="G19:G20"/>
    <mergeCell ref="F19:F20"/>
    <mergeCell ref="B12:D12"/>
    <mergeCell ref="M19:M20"/>
    <mergeCell ref="I19:I20"/>
    <mergeCell ref="J19:J20"/>
    <mergeCell ref="F46:G46"/>
    <mergeCell ref="K19:K20"/>
    <mergeCell ref="L19:L20"/>
  </mergeCells>
  <pageMargins left="0.7" right="0.7" top="0.75" bottom="0.75" header="0.3" footer="0.3"/>
  <pageSetup scale="47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EMPRESAS!$A:$A</xm:f>
          </x14:formula1>
          <xm:sqref>B15:D15</xm:sqref>
        </x14:dataValidation>
        <x14:dataValidation type="list" allowBlank="1" showInputMessage="1" showErrorMessage="1" xr:uid="{00000000-0002-0000-0100-000002000000}">
          <x14:formula1>
            <xm:f>AUTORIZADO!$A:$A</xm:f>
          </x14:formula1>
          <xm:sqref>B10:D10</xm:sqref>
        </x14:dataValidation>
        <x14:dataValidation type="list" allowBlank="1" showInputMessage="1" showErrorMessage="1" xr:uid="{00000000-0002-0000-0100-000003000000}">
          <x14:formula1>
            <xm:f>'TIPO FONDO'!$A$1:$A$2</xm:f>
          </x14:formula1>
          <xm:sqref>C5:E6</xm:sqref>
        </x14:dataValidation>
        <x14:dataValidation type="list" allowBlank="1" showInputMessage="1" showErrorMessage="1" xr:uid="{00000000-0002-0000-0100-000004000000}">
          <x14:formula1>
            <xm:f>'TIPO DOCUMENTO'!$A:$A</xm:f>
          </x14:formula1>
          <xm:sqref>C21:C45</xm:sqref>
        </x14:dataValidation>
        <x14:dataValidation type="list" allowBlank="1" showInputMessage="1" showErrorMessage="1" xr:uid="{00000000-0002-0000-0100-000005000000}">
          <x14:formula1>
            <xm:f>CONCEPTOS!$A:$A</xm:f>
          </x14:formula1>
          <xm:sqref>G21:G45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2"/>
  <sheetViews>
    <sheetView workbookViewId="0">
      <selection activeCell="C19" sqref="C19"/>
    </sheetView>
  </sheetViews>
  <sheetFormatPr baseColWidth="10" defaultColWidth="11.44140625" defaultRowHeight="13.2" x14ac:dyDescent="0.25"/>
  <sheetData>
    <row r="1" spans="1:1" x14ac:dyDescent="0.25">
      <c r="A1" s="16" t="s">
        <v>28</v>
      </c>
    </row>
    <row r="2" spans="1:1" x14ac:dyDescent="0.25">
      <c r="A2" s="16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9"/>
  <sheetViews>
    <sheetView workbookViewId="0">
      <selection activeCell="A4" sqref="A4"/>
    </sheetView>
  </sheetViews>
  <sheetFormatPr baseColWidth="10" defaultColWidth="11.44140625" defaultRowHeight="13.2" x14ac:dyDescent="0.25"/>
  <cols>
    <col min="1" max="1" width="30" customWidth="1"/>
    <col min="2" max="2" width="12.88671875" bestFit="1" customWidth="1"/>
  </cols>
  <sheetData>
    <row r="1" spans="1:2" ht="14.4" x14ac:dyDescent="0.25">
      <c r="A1" s="25" t="s">
        <v>109</v>
      </c>
      <c r="B1" s="27">
        <v>500000</v>
      </c>
    </row>
    <row r="2" spans="1:2" ht="14.4" x14ac:dyDescent="0.25">
      <c r="A2" s="25" t="s">
        <v>110</v>
      </c>
      <c r="B2" s="27">
        <v>500000</v>
      </c>
    </row>
    <row r="3" spans="1:2" ht="14.4" x14ac:dyDescent="0.25">
      <c r="A3" s="25" t="s">
        <v>111</v>
      </c>
      <c r="B3" s="27">
        <v>1000000</v>
      </c>
    </row>
    <row r="4" spans="1:2" ht="14.4" x14ac:dyDescent="0.25">
      <c r="A4" s="25"/>
      <c r="B4" s="27"/>
    </row>
    <row r="5" spans="1:2" ht="14.4" x14ac:dyDescent="0.25">
      <c r="A5" s="25"/>
      <c r="B5" s="27"/>
    </row>
    <row r="6" spans="1:2" ht="14.4" x14ac:dyDescent="0.25">
      <c r="A6" s="25"/>
      <c r="B6" s="27"/>
    </row>
    <row r="7" spans="1:2" ht="14.4" x14ac:dyDescent="0.25">
      <c r="A7" s="25"/>
      <c r="B7" s="27"/>
    </row>
    <row r="8" spans="1:2" ht="14.4" x14ac:dyDescent="0.25">
      <c r="A8" s="25"/>
      <c r="B8" s="27"/>
    </row>
    <row r="9" spans="1:2" ht="14.4" x14ac:dyDescent="0.25">
      <c r="A9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18"/>
  <sheetViews>
    <sheetView workbookViewId="0">
      <selection sqref="A1:A65536"/>
    </sheetView>
  </sheetViews>
  <sheetFormatPr baseColWidth="10" defaultColWidth="11.44140625" defaultRowHeight="13.2" x14ac:dyDescent="0.25"/>
  <cols>
    <col min="1" max="1" width="21.88671875" bestFit="1" customWidth="1"/>
  </cols>
  <sheetData>
    <row r="1" spans="1:1" x14ac:dyDescent="0.25">
      <c r="A1" s="16" t="s">
        <v>19</v>
      </c>
    </row>
    <row r="2" spans="1:1" x14ac:dyDescent="0.25">
      <c r="A2" s="16" t="s">
        <v>9</v>
      </c>
    </row>
    <row r="3" spans="1:1" x14ac:dyDescent="0.25">
      <c r="A3" s="16" t="s">
        <v>16</v>
      </c>
    </row>
    <row r="4" spans="1:1" x14ac:dyDescent="0.25">
      <c r="A4" s="16" t="s">
        <v>12</v>
      </c>
    </row>
    <row r="5" spans="1:1" x14ac:dyDescent="0.25">
      <c r="A5" s="16" t="s">
        <v>13</v>
      </c>
    </row>
    <row r="6" spans="1:1" x14ac:dyDescent="0.25">
      <c r="A6" s="16" t="s">
        <v>8</v>
      </c>
    </row>
    <row r="7" spans="1:1" x14ac:dyDescent="0.25">
      <c r="A7" s="16" t="s">
        <v>6</v>
      </c>
    </row>
    <row r="8" spans="1:1" x14ac:dyDescent="0.25">
      <c r="A8" s="16" t="s">
        <v>14</v>
      </c>
    </row>
    <row r="9" spans="1:1" x14ac:dyDescent="0.25">
      <c r="A9" s="16" t="s">
        <v>21</v>
      </c>
    </row>
    <row r="10" spans="1:1" x14ac:dyDescent="0.25">
      <c r="A10" s="16" t="s">
        <v>20</v>
      </c>
    </row>
    <row r="11" spans="1:1" x14ac:dyDescent="0.25">
      <c r="A11" s="16" t="s">
        <v>18</v>
      </c>
    </row>
    <row r="12" spans="1:1" x14ac:dyDescent="0.25">
      <c r="A12" s="16" t="s">
        <v>22</v>
      </c>
    </row>
    <row r="13" spans="1:1" x14ac:dyDescent="0.25">
      <c r="A13" s="16" t="s">
        <v>7</v>
      </c>
    </row>
    <row r="14" spans="1:1" x14ac:dyDescent="0.25">
      <c r="A14" s="16" t="s">
        <v>17</v>
      </c>
    </row>
    <row r="15" spans="1:1" x14ac:dyDescent="0.25">
      <c r="A15" s="16" t="s">
        <v>5</v>
      </c>
    </row>
    <row r="16" spans="1:1" x14ac:dyDescent="0.25">
      <c r="A16" s="16" t="s">
        <v>11</v>
      </c>
    </row>
    <row r="17" spans="1:1" x14ac:dyDescent="0.25">
      <c r="A17" s="16" t="s">
        <v>15</v>
      </c>
    </row>
    <row r="18" spans="1:1" x14ac:dyDescent="0.25">
      <c r="A18" s="16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57"/>
  <sheetViews>
    <sheetView zoomScale="115" zoomScaleNormal="115" workbookViewId="0">
      <selection activeCell="C8" sqref="C8"/>
    </sheetView>
  </sheetViews>
  <sheetFormatPr baseColWidth="10" defaultColWidth="11.44140625" defaultRowHeight="11.25" customHeight="1" x14ac:dyDescent="0.25"/>
  <cols>
    <col min="1" max="1" width="36.33203125" bestFit="1" customWidth="1"/>
  </cols>
  <sheetData>
    <row r="1" spans="1:1" ht="11.25" customHeight="1" x14ac:dyDescent="0.25">
      <c r="A1" s="16" t="s">
        <v>103</v>
      </c>
    </row>
    <row r="2" spans="1:1" ht="11.25" customHeight="1" x14ac:dyDescent="0.25">
      <c r="A2" t="s">
        <v>74</v>
      </c>
    </row>
    <row r="3" spans="1:1" ht="11.25" customHeight="1" x14ac:dyDescent="0.25">
      <c r="A3" t="s">
        <v>69</v>
      </c>
    </row>
    <row r="4" spans="1:1" ht="11.25" customHeight="1" x14ac:dyDescent="0.25">
      <c r="A4" t="s">
        <v>68</v>
      </c>
    </row>
    <row r="5" spans="1:1" ht="11.25" customHeight="1" x14ac:dyDescent="0.25">
      <c r="A5" t="s">
        <v>112</v>
      </c>
    </row>
    <row r="6" spans="1:1" ht="11.25" customHeight="1" x14ac:dyDescent="0.25">
      <c r="A6" t="s">
        <v>66</v>
      </c>
    </row>
    <row r="7" spans="1:1" ht="11.25" customHeight="1" x14ac:dyDescent="0.25">
      <c r="A7" t="s">
        <v>77</v>
      </c>
    </row>
    <row r="8" spans="1:1" ht="11.25" customHeight="1" x14ac:dyDescent="0.25">
      <c r="A8" t="s">
        <v>89</v>
      </c>
    </row>
    <row r="9" spans="1:1" ht="11.25" customHeight="1" x14ac:dyDescent="0.25">
      <c r="A9" t="s">
        <v>83</v>
      </c>
    </row>
    <row r="10" spans="1:1" ht="11.25" customHeight="1" x14ac:dyDescent="0.25">
      <c r="A10" t="s">
        <v>91</v>
      </c>
    </row>
    <row r="11" spans="1:1" ht="11.25" customHeight="1" x14ac:dyDescent="0.25">
      <c r="A11" t="s">
        <v>76</v>
      </c>
    </row>
    <row r="12" spans="1:1" ht="11.25" customHeight="1" x14ac:dyDescent="0.25">
      <c r="A12" t="s">
        <v>64</v>
      </c>
    </row>
    <row r="13" spans="1:1" ht="11.25" customHeight="1" x14ac:dyDescent="0.25">
      <c r="A13" t="s">
        <v>63</v>
      </c>
    </row>
    <row r="14" spans="1:1" ht="11.25" customHeight="1" x14ac:dyDescent="0.25">
      <c r="A14" t="s">
        <v>65</v>
      </c>
    </row>
    <row r="15" spans="1:1" ht="11.25" customHeight="1" x14ac:dyDescent="0.25">
      <c r="A15" t="s">
        <v>75</v>
      </c>
    </row>
    <row r="16" spans="1:1" ht="11.25" customHeight="1" x14ac:dyDescent="0.25">
      <c r="A16" t="s">
        <v>82</v>
      </c>
    </row>
    <row r="17" spans="1:1" ht="11.25" customHeight="1" x14ac:dyDescent="0.25">
      <c r="A17" t="s">
        <v>52</v>
      </c>
    </row>
    <row r="18" spans="1:1" ht="11.25" customHeight="1" x14ac:dyDescent="0.25">
      <c r="A18" t="s">
        <v>53</v>
      </c>
    </row>
    <row r="19" spans="1:1" ht="11.25" customHeight="1" x14ac:dyDescent="0.25">
      <c r="A19" t="s">
        <v>54</v>
      </c>
    </row>
    <row r="20" spans="1:1" ht="11.25" customHeight="1" x14ac:dyDescent="0.25">
      <c r="A20" t="s">
        <v>55</v>
      </c>
    </row>
    <row r="21" spans="1:1" ht="11.25" customHeight="1" x14ac:dyDescent="0.25">
      <c r="A21" t="s">
        <v>56</v>
      </c>
    </row>
    <row r="22" spans="1:1" ht="11.25" customHeight="1" x14ac:dyDescent="0.25">
      <c r="A22" t="s">
        <v>49</v>
      </c>
    </row>
    <row r="23" spans="1:1" ht="11.25" customHeight="1" x14ac:dyDescent="0.25">
      <c r="A23" t="s">
        <v>50</v>
      </c>
    </row>
    <row r="24" spans="1:1" ht="11.25" customHeight="1" x14ac:dyDescent="0.25">
      <c r="A24" t="s">
        <v>48</v>
      </c>
    </row>
    <row r="25" spans="1:1" ht="11.25" customHeight="1" x14ac:dyDescent="0.25">
      <c r="A25" t="s">
        <v>92</v>
      </c>
    </row>
    <row r="26" spans="1:1" ht="11.25" customHeight="1" x14ac:dyDescent="0.25">
      <c r="A26" t="s">
        <v>72</v>
      </c>
    </row>
    <row r="27" spans="1:1" ht="11.25" customHeight="1" x14ac:dyDescent="0.25">
      <c r="A27" t="s">
        <v>73</v>
      </c>
    </row>
    <row r="28" spans="1:1" ht="11.25" customHeight="1" x14ac:dyDescent="0.25">
      <c r="A28" t="s">
        <v>100</v>
      </c>
    </row>
    <row r="29" spans="1:1" ht="11.25" customHeight="1" x14ac:dyDescent="0.25">
      <c r="A29" t="s">
        <v>86</v>
      </c>
    </row>
    <row r="30" spans="1:1" ht="11.25" customHeight="1" x14ac:dyDescent="0.25">
      <c r="A30" t="s">
        <v>88</v>
      </c>
    </row>
    <row r="31" spans="1:1" ht="11.25" customHeight="1" x14ac:dyDescent="0.25">
      <c r="A31" t="s">
        <v>87</v>
      </c>
    </row>
    <row r="32" spans="1:1" ht="11.25" customHeight="1" x14ac:dyDescent="0.25">
      <c r="A32" t="s">
        <v>98</v>
      </c>
    </row>
    <row r="33" spans="1:1" ht="11.25" customHeight="1" x14ac:dyDescent="0.25">
      <c r="A33" t="s">
        <v>84</v>
      </c>
    </row>
    <row r="34" spans="1:1" ht="11.25" customHeight="1" x14ac:dyDescent="0.25">
      <c r="A34" t="s">
        <v>97</v>
      </c>
    </row>
    <row r="35" spans="1:1" ht="11.25" customHeight="1" x14ac:dyDescent="0.25">
      <c r="A35" t="s">
        <v>94</v>
      </c>
    </row>
    <row r="36" spans="1:1" ht="11.25" customHeight="1" x14ac:dyDescent="0.25">
      <c r="A36" t="s">
        <v>95</v>
      </c>
    </row>
    <row r="37" spans="1:1" ht="11.25" customHeight="1" x14ac:dyDescent="0.25">
      <c r="A37" t="s">
        <v>81</v>
      </c>
    </row>
    <row r="38" spans="1:1" ht="11.25" customHeight="1" x14ac:dyDescent="0.25">
      <c r="A38" t="s">
        <v>96</v>
      </c>
    </row>
    <row r="39" spans="1:1" ht="11.25" customHeight="1" x14ac:dyDescent="0.25">
      <c r="A39" t="s">
        <v>93</v>
      </c>
    </row>
    <row r="40" spans="1:1" ht="11.25" customHeight="1" x14ac:dyDescent="0.25">
      <c r="A40" t="s">
        <v>90</v>
      </c>
    </row>
    <row r="41" spans="1:1" ht="11.25" customHeight="1" x14ac:dyDescent="0.25">
      <c r="A41" t="s">
        <v>51</v>
      </c>
    </row>
    <row r="42" spans="1:1" ht="11.25" customHeight="1" x14ac:dyDescent="0.25">
      <c r="A42" t="s">
        <v>71</v>
      </c>
    </row>
    <row r="43" spans="1:1" ht="11.25" customHeight="1" x14ac:dyDescent="0.25">
      <c r="A43" t="s">
        <v>67</v>
      </c>
    </row>
    <row r="44" spans="1:1" ht="11.25" customHeight="1" x14ac:dyDescent="0.25">
      <c r="A44" t="s">
        <v>85</v>
      </c>
    </row>
    <row r="45" spans="1:1" ht="11.25" customHeight="1" x14ac:dyDescent="0.25">
      <c r="A45" t="s">
        <v>80</v>
      </c>
    </row>
    <row r="46" spans="1:1" ht="11.25" customHeight="1" x14ac:dyDescent="0.25">
      <c r="A46" t="s">
        <v>102</v>
      </c>
    </row>
    <row r="47" spans="1:1" ht="11.25" customHeight="1" x14ac:dyDescent="0.25">
      <c r="A47" t="s">
        <v>62</v>
      </c>
    </row>
    <row r="48" spans="1:1" ht="11.25" customHeight="1" x14ac:dyDescent="0.25">
      <c r="A48" t="s">
        <v>61</v>
      </c>
    </row>
    <row r="49" spans="1:1" ht="11.25" customHeight="1" x14ac:dyDescent="0.25">
      <c r="A49" t="s">
        <v>59</v>
      </c>
    </row>
    <row r="50" spans="1:1" ht="11.25" customHeight="1" x14ac:dyDescent="0.25">
      <c r="A50" t="s">
        <v>60</v>
      </c>
    </row>
    <row r="51" spans="1:1" ht="11.25" customHeight="1" x14ac:dyDescent="0.25">
      <c r="A51" t="s">
        <v>58</v>
      </c>
    </row>
    <row r="52" spans="1:1" ht="11.25" customHeight="1" x14ac:dyDescent="0.25">
      <c r="A52" t="s">
        <v>57</v>
      </c>
    </row>
    <row r="53" spans="1:1" ht="11.25" customHeight="1" x14ac:dyDescent="0.25">
      <c r="A53" t="s">
        <v>78</v>
      </c>
    </row>
    <row r="54" spans="1:1" ht="11.25" customHeight="1" x14ac:dyDescent="0.25">
      <c r="A54" t="s">
        <v>79</v>
      </c>
    </row>
    <row r="55" spans="1:1" ht="11.25" customHeight="1" x14ac:dyDescent="0.25">
      <c r="A55" t="s">
        <v>101</v>
      </c>
    </row>
    <row r="56" spans="1:1" ht="11.25" customHeight="1" x14ac:dyDescent="0.25">
      <c r="A56" t="s">
        <v>70</v>
      </c>
    </row>
    <row r="57" spans="1:1" ht="11.25" customHeight="1" x14ac:dyDescent="0.25">
      <c r="A57" t="s">
        <v>99</v>
      </c>
    </row>
  </sheetData>
  <sortState xmlns:xlrd2="http://schemas.microsoft.com/office/spreadsheetml/2017/richdata2" ref="A2:A57">
    <sortCondition ref="A2:A5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5"/>
  <sheetViews>
    <sheetView showGridLines="0" workbookViewId="0">
      <selection activeCell="A6" sqref="A6"/>
    </sheetView>
  </sheetViews>
  <sheetFormatPr baseColWidth="10" defaultColWidth="11.44140625" defaultRowHeight="13.2" x14ac:dyDescent="0.25"/>
  <sheetData>
    <row r="1" spans="1:1" x14ac:dyDescent="0.25">
      <c r="A1" s="16" t="s">
        <v>2</v>
      </c>
    </row>
    <row r="2" spans="1:1" x14ac:dyDescent="0.25">
      <c r="A2" s="16" t="s">
        <v>3</v>
      </c>
    </row>
    <row r="3" spans="1:1" x14ac:dyDescent="0.25">
      <c r="A3" s="16" t="s">
        <v>0</v>
      </c>
    </row>
    <row r="4" spans="1:1" x14ac:dyDescent="0.25">
      <c r="A4" s="16" t="s">
        <v>1</v>
      </c>
    </row>
    <row r="5" spans="1:1" x14ac:dyDescent="0.25">
      <c r="A5" s="16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EMPRESAS</vt:lpstr>
      <vt:lpstr>BASE</vt:lpstr>
      <vt:lpstr>TIPO FONDO</vt:lpstr>
      <vt:lpstr>AUTORIZADO</vt:lpstr>
      <vt:lpstr>AREA</vt:lpstr>
      <vt:lpstr>CONCEPTOS</vt:lpstr>
      <vt:lpstr>TIPO DOCUMENTO</vt:lpstr>
    </vt:vector>
  </TitlesOfParts>
  <Company>Universidad de Valparaiso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Consuelo Gomez</dc:creator>
  <cp:lastModifiedBy>Gabriel Gonzalez</cp:lastModifiedBy>
  <cp:lastPrinted>2020-07-28T20:20:56Z</cp:lastPrinted>
  <dcterms:created xsi:type="dcterms:W3CDTF">2006-05-10T15:21:35Z</dcterms:created>
  <dcterms:modified xsi:type="dcterms:W3CDTF">2023-08-19T00:11:12Z</dcterms:modified>
</cp:coreProperties>
</file>